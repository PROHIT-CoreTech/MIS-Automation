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reelancing\MIS Portal\MIS_Portal\excel\"/>
    </mc:Choice>
  </mc:AlternateContent>
  <xr:revisionPtr revIDLastSave="0" documentId="8_{39965B03-D0B7-4C5A-A25E-B24997AC5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&amp;L Detail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9" i="1" s="1"/>
  <c r="D27" i="1"/>
  <c r="E27" i="1"/>
  <c r="F27" i="1"/>
  <c r="G27" i="1"/>
  <c r="H27" i="1"/>
  <c r="I27" i="1"/>
  <c r="J27" i="1"/>
  <c r="K27" i="1"/>
  <c r="L27" i="1"/>
  <c r="M27" i="1"/>
  <c r="N27" i="1"/>
  <c r="B27" i="1"/>
  <c r="C20" i="1"/>
  <c r="D20" i="1"/>
  <c r="E20" i="1"/>
  <c r="F20" i="1"/>
  <c r="G20" i="1"/>
  <c r="H20" i="1"/>
  <c r="I20" i="1"/>
  <c r="I29" i="1" s="1"/>
  <c r="J20" i="1"/>
  <c r="K20" i="1"/>
  <c r="L20" i="1"/>
  <c r="M20" i="1"/>
  <c r="N20" i="1"/>
  <c r="B20" i="1"/>
  <c r="C15" i="1"/>
  <c r="D15" i="1"/>
  <c r="E15" i="1"/>
  <c r="F15" i="1"/>
  <c r="G15" i="1"/>
  <c r="G29" i="1" s="1"/>
  <c r="H15" i="1"/>
  <c r="H29" i="1" s="1"/>
  <c r="I15" i="1"/>
  <c r="J15" i="1"/>
  <c r="K15" i="1"/>
  <c r="L15" i="1"/>
  <c r="M15" i="1"/>
  <c r="N15" i="1"/>
  <c r="N29" i="1" s="1"/>
  <c r="B15" i="1"/>
  <c r="F29" i="1"/>
  <c r="L29" i="1"/>
  <c r="M29" i="1"/>
  <c r="J29" i="1" l="1"/>
  <c r="D29" i="1"/>
  <c r="B29" i="1"/>
  <c r="K29" i="1"/>
  <c r="E29" i="1"/>
</calcChain>
</file>

<file path=xl/sharedStrings.xml><?xml version="1.0" encoding="utf-8"?>
<sst xmlns="http://schemas.openxmlformats.org/spreadsheetml/2006/main" count="102" uniqueCount="97">
  <si>
    <t>P&amp;L Detailed Report  |  Apr-25 to Mar-26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</si>
  <si>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</si>
  <si>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</si>
  <si>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</si>
  <si>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</si>
  <si>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</si>
  <si>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</si>
  <si>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</si>
  <si>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</si>
  <si>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</si>
  <si>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</si>
  <si>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</si>
  <si>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</si>
  <si>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</si>
  <si>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Total</t>
  </si>
  <si>
    <t>SALES ACCOUNTS (Revenue)</t>
  </si>
  <si>
    <t xml:space="preserve">    EXPORT SALES</t>
  </si>
  <si>
    <t xml:space="preserve">    GST SALES</t>
  </si>
  <si>
    <t xml:space="preserve">    Goods Sold As Free of Cost</t>
  </si>
  <si>
    <t xml:space="preserve">    IGST SALES</t>
  </si>
  <si>
    <t xml:space="preserve">    Sales Bills to Make</t>
  </si>
  <si>
    <t>Sub-Total</t>
  </si>
  <si>
    <t>DIRECT INCOMES</t>
  </si>
  <si>
    <t xml:space="preserve">    AMC Service Charges</t>
  </si>
  <si>
    <t xml:space="preserve">    Foundation Scheme Income</t>
  </si>
  <si>
    <t xml:space="preserve">    Installation Charges</t>
  </si>
  <si>
    <t xml:space="preserve">    Job Work Charges Received</t>
  </si>
  <si>
    <t>GROSS PROFIT (c/o)</t>
  </si>
  <si>
    <t>INDIRECT INCOMES</t>
  </si>
  <si>
    <t xml:space="preserve">    Customs Duty Drawback</t>
  </si>
  <si>
    <t xml:space="preserve">    Discount Received (Purchase Related)</t>
  </si>
  <si>
    <t xml:space="preserve">    Interest Received</t>
  </si>
  <si>
    <t xml:space="preserve">    Machine Rental Charge</t>
  </si>
  <si>
    <t xml:space="preserve">    Misc. Income</t>
  </si>
  <si>
    <t xml:space="preserve">    Packing Charges</t>
  </si>
  <si>
    <t xml:space="preserve">    Sales Commisson</t>
  </si>
  <si>
    <t xml:space="preserve">    Service Charges</t>
  </si>
  <si>
    <t xml:space="preserve">    Turnover Discount</t>
  </si>
  <si>
    <t>INDIRECT EXPENSES (Overhead)</t>
  </si>
  <si>
    <t xml:space="preserve">    AMC Charge Paid</t>
  </si>
  <si>
    <t xml:space="preserve">    Bank Charges</t>
  </si>
  <si>
    <t xml:space="preserve">    Boarding and Lodging Expenses</t>
  </si>
  <si>
    <t xml:space="preserve">    Business Promotion Expenses</t>
  </si>
  <si>
    <t xml:space="preserve">    Commission Paid</t>
  </si>
  <si>
    <t xml:space="preserve">    Consultancy Charge</t>
  </si>
  <si>
    <t xml:space="preserve">    Consumable - Small Wares</t>
  </si>
  <si>
    <t xml:space="preserve">    Conveyance Expenses</t>
  </si>
  <si>
    <t xml:space="preserve">    Credit Card Charge</t>
  </si>
  <si>
    <t xml:space="preserve">    Depreciation</t>
  </si>
  <si>
    <t xml:space="preserve">    Design Charges Paid</t>
  </si>
  <si>
    <t xml:space="preserve">    Discount Given (Sales Related)</t>
  </si>
  <si>
    <t xml:space="preserve">    Donation</t>
  </si>
  <si>
    <t xml:space="preserve">    EMPLOYEE&amp;apos;S RELATED EXPENSES</t>
  </si>
  <si>
    <t xml:space="preserve">    Equipment Hire Charge</t>
  </si>
  <si>
    <t xml:space="preserve">    Food Expenses</t>
  </si>
  <si>
    <t xml:space="preserve">    Forex Currency Gain / Loss</t>
  </si>
  <si>
    <t xml:space="preserve">    Freight Outwards - Expenses</t>
  </si>
  <si>
    <t xml:space="preserve">    Freight Outword</t>
  </si>
  <si>
    <t xml:space="preserve">    General Expenses</t>
  </si>
  <si>
    <t xml:space="preserve">    Handling Charges</t>
  </si>
  <si>
    <t xml:space="preserve">    Installation Charges Paid</t>
  </si>
  <si>
    <t xml:space="preserve">    Insurance</t>
  </si>
  <si>
    <t xml:space="preserve">    Insurence - Travel</t>
  </si>
  <si>
    <t xml:space="preserve">    Interest / Penalty - Statutory</t>
  </si>
  <si>
    <t xml:space="preserve">    Internet / Domain Expenses</t>
  </si>
  <si>
    <t xml:space="preserve">    Legal Charges</t>
  </si>
  <si>
    <t xml:space="preserve">    Loading Charges</t>
  </si>
  <si>
    <t xml:space="preserve">    Maintenance Charges</t>
  </si>
  <si>
    <t xml:space="preserve">    Office Expensess</t>
  </si>
  <si>
    <t xml:space="preserve">    POWER &amp;amp; FUEL EXPENSES</t>
  </si>
  <si>
    <t xml:space="preserve">    Partner Remuneration</t>
  </si>
  <si>
    <t xml:space="preserve">    Petrol Charges</t>
  </si>
  <si>
    <t xml:space="preserve">    Pooja Expenses</t>
  </si>
  <si>
    <t xml:space="preserve">    Postage &amp;amp; Courier Charges</t>
  </si>
  <si>
    <t xml:space="preserve">    Printing &amp;amp; Stationary</t>
  </si>
  <si>
    <t xml:space="preserve">    Professional Fees</t>
  </si>
  <si>
    <t xml:space="preserve">    Professional Tax</t>
  </si>
  <si>
    <t xml:space="preserve">    RATES AND TAXES</t>
  </si>
  <si>
    <t xml:space="preserve">    RCM on Freight</t>
  </si>
  <si>
    <t xml:space="preserve">    Repairs &amp;amp; Maintenance - Vehicle</t>
  </si>
  <si>
    <t xml:space="preserve">    Repairs and Maintenance</t>
  </si>
  <si>
    <t xml:space="preserve">    Rounded Off</t>
  </si>
  <si>
    <t xml:space="preserve">    Sales Promotion Exp.</t>
  </si>
  <si>
    <t xml:space="preserve">    Sundry Balance Write Off</t>
  </si>
  <si>
    <t xml:space="preserve">    Telephone Expenses</t>
  </si>
  <si>
    <t xml:space="preserve">    Toll &amp;amp; Parking Charges</t>
  </si>
  <si>
    <t xml:space="preserve">    Transportation Charges</t>
  </si>
  <si>
    <t xml:space="preserve">    Travelling Expenses</t>
  </si>
  <si>
    <t xml:space="preserve">    Vehicle Maintenance</t>
  </si>
  <si>
    <t>NET PROFIT (Nett)</t>
  </si>
  <si>
    <t>Note: All values in Crores (Cr). Generated by MIS Portal.</t>
  </si>
  <si>
    <t>Cost of Goods Sold</t>
  </si>
  <si>
    <t>Opening Stock</t>
  </si>
  <si>
    <t>Add: Purchases</t>
  </si>
  <si>
    <t>Add: Direct Expenses</t>
  </si>
  <si>
    <t>Less: Closing Stock</t>
  </si>
  <si>
    <t>Add: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</si>
</sst>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D3557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D3557"/>
      <name val="Arial"/>
      <family val="2"/>
    </font>
    <font>
      <i/>
      <sz val="8"/>
      <color rgb="FF88888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D3557"/>
        <bgColor rgb="FF1D3557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8FAFB"/>
        <bgColor rgb="FFF8FAFB"/>
      </patternFill>
    </fill>
    <fill>
      <patternFill patternType="solid">
        <fgColor rgb="FFD6E4F0"/>
        <bgColor rgb="FFD6E4F0"/>
      </patternFill>
    </fill>
    <fill>
      <patternFill patternType="solid">
        <fgColor rgb="FFF0F0F0"/>
        <bgColor rgb="FFF0F0F0"/>
      </patternFill>
    </fill>
    <fill>
      <patternFill patternType="solid">
        <fgColor rgb="FF1D9E75"/>
        <bgColor rgb="FF1D9E75"/>
      </patternFill>
    </fill>
    <fill>
      <patternFill patternType="solid">
        <fgColor rgb="FFD85A30"/>
        <bgColor rgb="FFD85A3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0" fillId="7" borderId="0" xfId="0" applyFill="1"/>
    <xf numFmtId="0" fontId="2" fillId="8" borderId="1" xfId="0" applyFont="1" applyFill="1" applyBorder="1" applyAlignment="1">
      <alignment horizontal="left" vertical="center"/>
    </xf>
    <xf numFmtId="4" fontId="2" fillId="8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left" vertical="center"/>
    </xf>
    <xf numFmtId="4" fontId="2" fillId="9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zoomScaleNormal="100" workbookViewId="0">
      <pane xSplit="1" ySplit="2" topLeftCell="B3" activePane="bottomRight" state="frozen"/>
      <selection pane="topRight"/>
      <selection pane="bottomLeft"/>
      <selection pane="bottomRight" activeCell="C2" sqref="A1:N20"/>
    </sheetView>
  </sheetViews>
  <sheetFormatPr defaultRowHeight="14.4" x14ac:dyDescent="0.3"/>
  <cols>
    <col min="1" max="1" width="38.33203125" bestFit="1" customWidth="1"/>
    <col min="2" max="2" width="6.77734375" bestFit="1" customWidth="1"/>
    <col min="3" max="3" width="7.109375" bestFit="1" customWidth="1"/>
    <col min="4" max="4" width="6.88671875" bestFit="1" customWidth="1"/>
    <col min="5" max="5" width="6.21875" bestFit="1" customWidth="1"/>
    <col min="6" max="6" width="7.109375" bestFit="1" customWidth="1"/>
    <col min="7" max="7" width="7" bestFit="1" customWidth="1"/>
    <col min="8" max="8" width="6.77734375" bestFit="1" customWidth="1"/>
    <col min="9" max="9" width="7.109375" bestFit="1" customWidth="1"/>
    <col min="10" max="10" width="7" bestFit="1" customWidth="1"/>
    <col min="11" max="11" width="6.77734375" bestFit="1" customWidth="1"/>
    <col min="12" max="13" width="6.88671875" bestFit="1" customWidth="1"/>
    <col min="14" max="14" width="5.5546875" bestFit="1" customWidth="1"/>
  </cols>
  <sheetData>
    <row r="1" spans="1:14" ht="28.2" customHeight="1" x14ac:dyDescent="0.3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9.9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6.2" customHeight="1" x14ac:dyDescent="0.3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6.2" customHeight="1" x14ac:dyDescent="0.3">
      <c r="A4" s="5" t="s">
        <v>16</v>
      </c>
      <c r="B4" s="6"/>
      <c r="C4" s="7">
        <v>2.58E-2</v>
      </c>
      <c r="D4" s="7">
        <v>3.5999999999999997E-2</v>
      </c>
      <c r="E4" s="6"/>
      <c r="F4" s="6"/>
      <c r="G4" s="7">
        <v>2.58E-2</v>
      </c>
      <c r="H4" s="6"/>
      <c r="I4" s="7">
        <v>7.3800000000000004E-2</v>
      </c>
      <c r="J4" s="7">
        <v>2.2599999999999999E-2</v>
      </c>
      <c r="K4" s="6"/>
      <c r="L4" s="6"/>
      <c r="M4" s="6"/>
      <c r="N4" s="7">
        <v>0.18410000000000001</v>
      </c>
    </row>
    <row r="5" spans="1:14" ht="16.2" customHeight="1" x14ac:dyDescent="0.3">
      <c r="A5" s="8" t="s">
        <v>17</v>
      </c>
      <c r="B5" s="9">
        <v>2.7290000000000001</v>
      </c>
      <c r="C5" s="9">
        <v>4.5248999999999997</v>
      </c>
      <c r="D5" s="9">
        <v>4.1455000000000002</v>
      </c>
      <c r="E5" s="9">
        <v>3.3140999999999998</v>
      </c>
      <c r="F5" s="9">
        <v>2.8546</v>
      </c>
      <c r="G5" s="9">
        <v>2.7572999999999999</v>
      </c>
      <c r="H5" s="9">
        <v>3.2738</v>
      </c>
      <c r="I5" s="9">
        <v>4.9686000000000003</v>
      </c>
      <c r="J5" s="9">
        <v>4.8281000000000001</v>
      </c>
      <c r="K5" s="9">
        <v>3.6280000000000001</v>
      </c>
      <c r="L5" s="9">
        <v>3.548</v>
      </c>
      <c r="M5" s="9">
        <v>6.7119</v>
      </c>
      <c r="N5" s="9">
        <v>47.283799999999999</v>
      </c>
    </row>
    <row r="6" spans="1:14" ht="16.2" customHeight="1" x14ac:dyDescent="0.3">
      <c r="A6" s="5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>
        <v>3.7000000000000002E-3</v>
      </c>
      <c r="N6" s="7">
        <v>3.7000000000000002E-3</v>
      </c>
    </row>
    <row r="7" spans="1:14" ht="16.2" customHeight="1" x14ac:dyDescent="0.3">
      <c r="A7" s="8" t="s">
        <v>19</v>
      </c>
      <c r="B7" s="9">
        <v>1.5345</v>
      </c>
      <c r="C7" s="9">
        <v>0.7671</v>
      </c>
      <c r="D7" s="9">
        <v>0.59150000000000003</v>
      </c>
      <c r="E7" s="9">
        <v>1.2310000000000001</v>
      </c>
      <c r="F7" s="9">
        <v>1.3532</v>
      </c>
      <c r="G7" s="9">
        <v>2.1644000000000001</v>
      </c>
      <c r="H7" s="9">
        <v>1.5359</v>
      </c>
      <c r="I7" s="9">
        <v>2.1421999999999999</v>
      </c>
      <c r="J7" s="9">
        <v>1.6154999999999999</v>
      </c>
      <c r="K7" s="9">
        <v>2.1505999999999998</v>
      </c>
      <c r="L7" s="9">
        <v>2.7719</v>
      </c>
      <c r="M7" s="9">
        <v>2.6715</v>
      </c>
      <c r="N7" s="9">
        <v>20.5291</v>
      </c>
    </row>
    <row r="8" spans="1:14" ht="16.2" customHeight="1" x14ac:dyDescent="0.3">
      <c r="A8" s="5" t="s">
        <v>20</v>
      </c>
      <c r="B8" s="7">
        <v>3.0000000000000001E-3</v>
      </c>
      <c r="C8" s="6"/>
      <c r="D8" s="7">
        <v>6.7500000000000004E-2</v>
      </c>
      <c r="E8" s="7">
        <v>0.15690000000000001</v>
      </c>
      <c r="F8" s="7">
        <v>0.15659999999999999</v>
      </c>
      <c r="G8" s="6"/>
      <c r="H8" s="6"/>
      <c r="I8" s="7">
        <v>3.5000000000000003E-2</v>
      </c>
      <c r="J8" s="7">
        <v>3.2500000000000001E-2</v>
      </c>
      <c r="K8" s="6"/>
      <c r="L8" s="6"/>
      <c r="M8" s="7">
        <v>3.3E-3</v>
      </c>
      <c r="N8" s="7">
        <v>0.45479999999999998</v>
      </c>
    </row>
    <row r="9" spans="1:14" ht="16.2" customHeight="1" x14ac:dyDescent="0.3">
      <c r="A9" s="10" t="s">
        <v>21</v>
      </c>
      <c r="B9" s="11">
        <v>4.2664999999999997</v>
      </c>
      <c r="C9" s="11">
        <v>5.3178000000000001</v>
      </c>
      <c r="D9" s="11">
        <v>4.8404999999999996</v>
      </c>
      <c r="E9" s="11">
        <v>4.7019000000000002</v>
      </c>
      <c r="F9" s="11">
        <v>4.3643999999999998</v>
      </c>
      <c r="G9" s="11">
        <v>4.9474999999999998</v>
      </c>
      <c r="H9" s="11">
        <v>4.8095999999999997</v>
      </c>
      <c r="I9" s="11">
        <v>7.2195</v>
      </c>
      <c r="J9" s="11">
        <v>6.4987000000000004</v>
      </c>
      <c r="K9" s="11">
        <v>5.7785000000000002</v>
      </c>
      <c r="L9" s="11">
        <v>6.32</v>
      </c>
      <c r="M9" s="11">
        <v>9.3903999999999996</v>
      </c>
      <c r="N9" s="11">
        <v>68.455399999999997</v>
      </c>
    </row>
    <row r="10" spans="1:14" ht="16.2" customHeight="1" x14ac:dyDescent="0.3">
      <c r="A10" s="3" t="s">
        <v>91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6.2" customHeight="1" x14ac:dyDescent="0.3">
      <c r="A11" s="19" t="s">
        <v>92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 ht="16.2" customHeight="1" x14ac:dyDescent="0.3">
      <c r="A12" s="19" t="s">
        <v>93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6.2" customHeight="1" x14ac:dyDescent="0.3">
      <c r="A13" s="19" t="s">
        <v>96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</row>
    <row r="14" spans="1:14" ht="16.2" customHeight="1" x14ac:dyDescent="0.3">
      <c r="A14" s="19" t="s">
        <v>95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6.2" customHeight="1" x14ac:dyDescent="0.3">
      <c r="A15" s="10" t="s">
        <v>21</v>
      </c>
      <c r="B15" s="11">
        <f>+B11+B12-B14+B13</f>
        <v>0</v>
      </c>
      <c r="C15" s="11">
        <f t="shared" ref="C15:N15" si="0">+C11+C12-C14+C13</f>
        <v>0</v>
      </c>
      <c r="D15" s="11">
        <f t="shared" si="0"/>
        <v>0</v>
      </c>
      <c r="E15" s="11">
        <f t="shared" si="0"/>
        <v>0</v>
      </c>
      <c r="F15" s="11">
        <f t="shared" si="0"/>
        <v>0</v>
      </c>
      <c r="G15" s="11">
        <f t="shared" si="0"/>
        <v>0</v>
      </c>
      <c r="H15" s="11">
        <f t="shared" si="0"/>
        <v>0</v>
      </c>
      <c r="I15" s="11">
        <f t="shared" si="0"/>
        <v>0</v>
      </c>
      <c r="J15" s="11">
        <f t="shared" si="0"/>
        <v>0</v>
      </c>
      <c r="K15" s="11">
        <f t="shared" si="0"/>
        <v>0</v>
      </c>
      <c r="L15" s="11">
        <f t="shared" si="0"/>
        <v>0</v>
      </c>
      <c r="M15" s="11">
        <f t="shared" si="0"/>
        <v>0</v>
      </c>
      <c r="N15" s="11">
        <f t="shared" si="0"/>
        <v>0</v>
      </c>
    </row>
    <row r="16" spans="1:14" ht="16.2" customHeight="1" x14ac:dyDescent="0.3">
      <c r="A16" s="3" t="s">
        <v>94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6.2" customHeight="1" x14ac:dyDescent="0.3">
      <c r="A17" s="19">
        <v>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</row>
    <row r="18" spans="1:14" ht="16.2" customHeight="1" x14ac:dyDescent="0.3">
      <c r="A18" s="19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16.2" customHeight="1" x14ac:dyDescent="0.3">
      <c r="A19" s="19">
        <v>3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</row>
    <row r="20" spans="1:14" ht="16.2" customHeight="1" x14ac:dyDescent="0.3">
      <c r="A20" s="10" t="s">
        <v>21</v>
      </c>
      <c r="B20" s="11">
        <f>SUM(B17:B19)</f>
        <v>0</v>
      </c>
      <c r="C20" s="11">
        <f t="shared" ref="C20:N20" si="1">SUM(C17:C19)</f>
        <v>0</v>
      </c>
      <c r="D20" s="11">
        <f t="shared" si="1"/>
        <v>0</v>
      </c>
      <c r="E20" s="11">
        <f t="shared" si="1"/>
        <v>0</v>
      </c>
      <c r="F20" s="11">
        <f t="shared" si="1"/>
        <v>0</v>
      </c>
      <c r="G20" s="11">
        <f t="shared" si="1"/>
        <v>0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1">
        <f t="shared" si="1"/>
        <v>0</v>
      </c>
      <c r="M20" s="11">
        <f t="shared" si="1"/>
        <v>0</v>
      </c>
      <c r="N20" s="11">
        <f t="shared" si="1"/>
        <v>0</v>
      </c>
    </row>
    <row r="21" spans="1:14" ht="16.2" customHeight="1" x14ac:dyDescent="0.3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</row>
    <row r="22" spans="1:14" ht="16.2" customHeight="1" x14ac:dyDescent="0.3">
      <c r="A22" s="3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6.2" customHeight="1" x14ac:dyDescent="0.3">
      <c r="A23" s="5" t="s">
        <v>23</v>
      </c>
      <c r="B23" s="6"/>
      <c r="C23" s="6"/>
      <c r="D23" s="6"/>
      <c r="E23" s="6"/>
      <c r="F23" s="6"/>
      <c r="G23" s="6"/>
      <c r="H23" s="6"/>
      <c r="I23" s="7">
        <v>7.6E-3</v>
      </c>
      <c r="J23" s="6"/>
      <c r="K23" s="7">
        <v>5.4300000000000001E-2</v>
      </c>
      <c r="L23" s="6"/>
      <c r="M23" s="6"/>
      <c r="N23" s="7">
        <v>6.1899999999999997E-2</v>
      </c>
    </row>
    <row r="24" spans="1:14" ht="16.2" customHeight="1" x14ac:dyDescent="0.3">
      <c r="A24" s="8" t="s">
        <v>24</v>
      </c>
      <c r="B24" s="12"/>
      <c r="C24" s="12"/>
      <c r="D24" s="12"/>
      <c r="E24" s="12"/>
      <c r="F24" s="12"/>
      <c r="G24" s="9">
        <v>0.04</v>
      </c>
      <c r="H24" s="12"/>
      <c r="I24" s="12"/>
      <c r="J24" s="12"/>
      <c r="K24" s="12"/>
      <c r="L24" s="12"/>
      <c r="M24" s="12"/>
      <c r="N24" s="9">
        <v>0.04</v>
      </c>
    </row>
    <row r="25" spans="1:14" ht="16.2" customHeight="1" x14ac:dyDescent="0.3">
      <c r="A25" s="5" t="s">
        <v>25</v>
      </c>
      <c r="B25" s="7">
        <v>8.0000000000000004E-4</v>
      </c>
      <c r="C25" s="7">
        <v>2.9999999999999997E-4</v>
      </c>
      <c r="D25" s="7">
        <v>5.0000000000000001E-4</v>
      </c>
      <c r="E25" s="7">
        <v>7.7999999999999996E-3</v>
      </c>
      <c r="F25" s="7">
        <v>3.2000000000000002E-3</v>
      </c>
      <c r="G25" s="7">
        <v>4.0000000000000002E-4</v>
      </c>
      <c r="H25" s="7">
        <v>1.6000000000000001E-3</v>
      </c>
      <c r="I25" s="7">
        <v>4.0000000000000002E-4</v>
      </c>
      <c r="J25" s="7">
        <v>3.0999999999999999E-3</v>
      </c>
      <c r="K25" s="7">
        <v>8.0000000000000004E-4</v>
      </c>
      <c r="L25" s="7">
        <v>4.1999999999999997E-3</v>
      </c>
      <c r="M25" s="7">
        <v>2.5999999999999999E-2</v>
      </c>
      <c r="N25" s="7">
        <v>4.9200000000000001E-2</v>
      </c>
    </row>
    <row r="26" spans="1:14" ht="16.2" customHeight="1" x14ac:dyDescent="0.3">
      <c r="A26" s="8" t="s">
        <v>26</v>
      </c>
      <c r="B26" s="12"/>
      <c r="C26" s="12"/>
      <c r="D26" s="9">
        <v>0.1244</v>
      </c>
      <c r="E26" s="9">
        <v>0.1454</v>
      </c>
      <c r="F26" s="9">
        <v>0.1242</v>
      </c>
      <c r="G26" s="12"/>
      <c r="H26" s="12"/>
      <c r="I26" s="9">
        <v>8.2699999999999996E-2</v>
      </c>
      <c r="J26" s="9">
        <v>0.2157</v>
      </c>
      <c r="K26" s="9">
        <v>8.4099999999999994E-2</v>
      </c>
      <c r="L26" s="9">
        <v>0.35349999999999998</v>
      </c>
      <c r="M26" s="9">
        <v>0.4345</v>
      </c>
      <c r="N26" s="9">
        <v>1.5646</v>
      </c>
    </row>
    <row r="27" spans="1:14" ht="16.2" customHeight="1" x14ac:dyDescent="0.3">
      <c r="A27" s="10" t="s">
        <v>21</v>
      </c>
      <c r="B27" s="11">
        <f>SUM(B23:B26)</f>
        <v>8.0000000000000004E-4</v>
      </c>
      <c r="C27" s="11">
        <f t="shared" ref="C27:N27" si="2">SUM(C23:C26)</f>
        <v>2.9999999999999997E-4</v>
      </c>
      <c r="D27" s="11">
        <f t="shared" si="2"/>
        <v>0.1249</v>
      </c>
      <c r="E27" s="11">
        <f t="shared" si="2"/>
        <v>0.1532</v>
      </c>
      <c r="F27" s="11">
        <f t="shared" si="2"/>
        <v>0.12740000000000001</v>
      </c>
      <c r="G27" s="11">
        <f t="shared" si="2"/>
        <v>4.0399999999999998E-2</v>
      </c>
      <c r="H27" s="11">
        <f t="shared" si="2"/>
        <v>1.6000000000000001E-3</v>
      </c>
      <c r="I27" s="11">
        <f t="shared" si="2"/>
        <v>9.0700000000000003E-2</v>
      </c>
      <c r="J27" s="11">
        <f t="shared" si="2"/>
        <v>0.21879999999999999</v>
      </c>
      <c r="K27" s="11">
        <f t="shared" si="2"/>
        <v>0.13919999999999999</v>
      </c>
      <c r="L27" s="11">
        <f t="shared" si="2"/>
        <v>0.35769999999999996</v>
      </c>
      <c r="M27" s="11">
        <f t="shared" si="2"/>
        <v>0.46050000000000002</v>
      </c>
      <c r="N27" s="11">
        <f t="shared" si="2"/>
        <v>1.7157</v>
      </c>
    </row>
    <row r="28" spans="1:14" ht="6" customHeight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1:14" ht="16.2" customHeight="1" x14ac:dyDescent="0.3">
      <c r="A29" s="14" t="s">
        <v>27</v>
      </c>
      <c r="B29" s="15">
        <f>+B9-B15-B20+B27</f>
        <v>4.2672999999999996</v>
      </c>
      <c r="C29" s="15">
        <f t="shared" ref="C29:N29" si="3">+C9-C15-C20+C27</f>
        <v>5.3181000000000003</v>
      </c>
      <c r="D29" s="15">
        <f t="shared" si="3"/>
        <v>4.9653999999999998</v>
      </c>
      <c r="E29" s="15">
        <f t="shared" si="3"/>
        <v>4.8551000000000002</v>
      </c>
      <c r="F29" s="15">
        <f t="shared" si="3"/>
        <v>4.4917999999999996</v>
      </c>
      <c r="G29" s="15">
        <f t="shared" si="3"/>
        <v>4.9878999999999998</v>
      </c>
      <c r="H29" s="15">
        <f t="shared" si="3"/>
        <v>4.8111999999999995</v>
      </c>
      <c r="I29" s="15">
        <f t="shared" si="3"/>
        <v>7.3102</v>
      </c>
      <c r="J29" s="15">
        <f t="shared" si="3"/>
        <v>6.7175000000000002</v>
      </c>
      <c r="K29" s="15">
        <f t="shared" si="3"/>
        <v>5.9177</v>
      </c>
      <c r="L29" s="15">
        <f t="shared" si="3"/>
        <v>6.6777000000000006</v>
      </c>
      <c r="M29" s="15">
        <f t="shared" si="3"/>
        <v>9.8508999999999993</v>
      </c>
      <c r="N29" s="15">
        <f t="shared" si="3"/>
        <v>70.171099999999996</v>
      </c>
    </row>
    <row r="30" spans="1:14" ht="6" customHeigh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6.2" customHeight="1" x14ac:dyDescent="0.3">
      <c r="A31" s="3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6.2" customHeight="1" x14ac:dyDescent="0.3">
      <c r="A32" s="5" t="s">
        <v>29</v>
      </c>
      <c r="B32" s="6"/>
      <c r="C32" s="6"/>
      <c r="D32" s="7">
        <v>4.0000000000000002E-4</v>
      </c>
      <c r="E32" s="6"/>
      <c r="F32" s="6"/>
      <c r="G32" s="6"/>
      <c r="H32" s="6"/>
      <c r="I32" s="6"/>
      <c r="J32" s="6"/>
      <c r="K32" s="6"/>
      <c r="L32" s="6"/>
      <c r="M32" s="6"/>
      <c r="N32" s="7">
        <v>4.0000000000000002E-4</v>
      </c>
    </row>
    <row r="33" spans="1:14" ht="16.2" customHeight="1" x14ac:dyDescent="0.3">
      <c r="A33" s="8" t="s">
        <v>30</v>
      </c>
      <c r="B33" s="9">
        <v>5.1999999999999998E-3</v>
      </c>
      <c r="C33" s="12"/>
      <c r="D33" s="9">
        <v>2.0000000000000001E-4</v>
      </c>
      <c r="E33" s="12"/>
      <c r="F33" s="9">
        <v>2.9999999999999997E-4</v>
      </c>
      <c r="G33" s="9">
        <v>2.0000000000000001E-4</v>
      </c>
      <c r="H33" s="9">
        <v>2.8E-3</v>
      </c>
      <c r="I33" s="9">
        <v>9.4000000000000004E-3</v>
      </c>
      <c r="J33" s="12"/>
      <c r="K33" s="12"/>
      <c r="L33" s="9">
        <v>3.5499999999999997E-2</v>
      </c>
      <c r="M33" s="12"/>
      <c r="N33" s="9">
        <v>5.3600000000000002E-2</v>
      </c>
    </row>
    <row r="34" spans="1:14" ht="16.2" customHeight="1" x14ac:dyDescent="0.3">
      <c r="A34" s="5" t="s">
        <v>31</v>
      </c>
      <c r="B34" s="7">
        <v>6.8999999999999999E-3</v>
      </c>
      <c r="C34" s="7">
        <v>8.0000000000000004E-4</v>
      </c>
      <c r="D34" s="7">
        <v>4.3E-3</v>
      </c>
      <c r="E34" s="7">
        <v>1.6000000000000001E-3</v>
      </c>
      <c r="F34" s="7">
        <v>1.2999999999999999E-3</v>
      </c>
      <c r="G34" s="7">
        <v>6.9999999999999999E-4</v>
      </c>
      <c r="H34" s="7">
        <v>1.2999999999999999E-3</v>
      </c>
      <c r="I34" s="7">
        <v>2.9999999999999997E-4</v>
      </c>
      <c r="J34" s="7">
        <v>1.1000000000000001E-3</v>
      </c>
      <c r="K34" s="7">
        <v>3.0999999999999999E-3</v>
      </c>
      <c r="L34" s="7">
        <v>8.0000000000000004E-4</v>
      </c>
      <c r="M34" s="7">
        <v>5.9999999999999995E-4</v>
      </c>
      <c r="N34" s="7">
        <v>2.2800000000000001E-2</v>
      </c>
    </row>
    <row r="35" spans="1:14" ht="16.2" customHeight="1" x14ac:dyDescent="0.3">
      <c r="A35" s="8" t="s">
        <v>32</v>
      </c>
      <c r="B35" s="12"/>
      <c r="C35" s="12"/>
      <c r="D35" s="12"/>
      <c r="E35" s="12"/>
      <c r="F35" s="9">
        <v>6.0000000000000001E-3</v>
      </c>
      <c r="G35" s="12"/>
      <c r="H35" s="12"/>
      <c r="I35" s="12"/>
      <c r="J35" s="12"/>
      <c r="K35" s="12"/>
      <c r="L35" s="9">
        <v>4.1999999999999997E-3</v>
      </c>
      <c r="M35" s="12"/>
      <c r="N35" s="9">
        <v>1.0200000000000001E-2</v>
      </c>
    </row>
    <row r="36" spans="1:14" ht="16.2" customHeight="1" x14ac:dyDescent="0.3">
      <c r="A36" s="5" t="s">
        <v>33</v>
      </c>
      <c r="B36" s="6"/>
      <c r="C36" s="6"/>
      <c r="D36" s="6"/>
      <c r="E36" s="6"/>
      <c r="F36" s="6"/>
      <c r="G36" s="6"/>
      <c r="H36" s="6"/>
      <c r="I36" s="7">
        <v>1.6000000000000001E-3</v>
      </c>
      <c r="J36" s="6"/>
      <c r="K36" s="6"/>
      <c r="L36" s="6"/>
      <c r="M36" s="6"/>
      <c r="N36" s="7">
        <v>1.6000000000000001E-3</v>
      </c>
    </row>
    <row r="37" spans="1:14" ht="16.2" customHeight="1" x14ac:dyDescent="0.3">
      <c r="A37" s="8" t="s">
        <v>34</v>
      </c>
      <c r="B37" s="9">
        <v>1.7299999999999999E-2</v>
      </c>
      <c r="C37" s="9">
        <v>1.8E-3</v>
      </c>
      <c r="D37" s="9">
        <v>2.9999999999999997E-4</v>
      </c>
      <c r="E37" s="9">
        <v>1.1000000000000001E-3</v>
      </c>
      <c r="F37" s="9">
        <v>2.8E-3</v>
      </c>
      <c r="G37" s="9">
        <v>2.5999999999999999E-3</v>
      </c>
      <c r="H37" s="9">
        <v>2.2000000000000001E-3</v>
      </c>
      <c r="I37" s="9">
        <v>2.3E-3</v>
      </c>
      <c r="J37" s="9">
        <v>2.7000000000000001E-3</v>
      </c>
      <c r="K37" s="9">
        <v>2.2000000000000001E-3</v>
      </c>
      <c r="L37" s="9">
        <v>5.1999999999999998E-3</v>
      </c>
      <c r="M37" s="9">
        <v>3.0000000000000001E-3</v>
      </c>
      <c r="N37" s="9">
        <v>4.36E-2</v>
      </c>
    </row>
    <row r="38" spans="1:14" ht="16.2" customHeight="1" x14ac:dyDescent="0.3">
      <c r="A38" s="5" t="s">
        <v>35</v>
      </c>
      <c r="B38" s="6"/>
      <c r="C38" s="6"/>
      <c r="D38" s="6"/>
      <c r="E38" s="6"/>
      <c r="F38" s="6"/>
      <c r="G38" s="6"/>
      <c r="H38" s="6"/>
      <c r="I38" s="6"/>
      <c r="J38" s="6"/>
      <c r="K38" s="7">
        <v>5.3900000000000003E-2</v>
      </c>
      <c r="L38" s="6"/>
      <c r="M38" s="7">
        <v>1.34E-2</v>
      </c>
      <c r="N38" s="7">
        <v>6.7299999999999999E-2</v>
      </c>
    </row>
    <row r="39" spans="1:14" ht="16.2" customHeight="1" x14ac:dyDescent="0.3">
      <c r="A39" s="8" t="s">
        <v>36</v>
      </c>
      <c r="B39" s="9">
        <v>3.8800000000000001E-2</v>
      </c>
      <c r="C39" s="9">
        <v>1.78E-2</v>
      </c>
      <c r="D39" s="9">
        <v>1.0500000000000001E-2</v>
      </c>
      <c r="E39" s="9">
        <v>4.5499999999999999E-2</v>
      </c>
      <c r="F39" s="9">
        <v>1.5800000000000002E-2</v>
      </c>
      <c r="G39" s="9">
        <v>9.1000000000000004E-3</v>
      </c>
      <c r="H39" s="9">
        <v>4.2099999999999999E-2</v>
      </c>
      <c r="I39" s="9">
        <v>3.09E-2</v>
      </c>
      <c r="J39" s="9">
        <v>7.0300000000000001E-2</v>
      </c>
      <c r="K39" s="9">
        <v>1.52E-2</v>
      </c>
      <c r="L39" s="9">
        <v>1.83E-2</v>
      </c>
      <c r="M39" s="9">
        <v>2.9899999999999999E-2</v>
      </c>
      <c r="N39" s="9">
        <v>0.34429999999999999</v>
      </c>
    </row>
    <row r="40" spans="1:14" ht="16.2" customHeight="1" x14ac:dyDescent="0.3">
      <c r="A40" s="5" t="s">
        <v>37</v>
      </c>
      <c r="B40" s="6"/>
      <c r="C40" s="7">
        <v>0.1198</v>
      </c>
      <c r="D40" s="7">
        <v>0.20610000000000001</v>
      </c>
      <c r="E40" s="6"/>
      <c r="F40" s="7">
        <v>0.27529999999999999</v>
      </c>
      <c r="G40" s="7">
        <v>4.8300000000000003E-2</v>
      </c>
      <c r="H40" s="7">
        <v>0.24129999999999999</v>
      </c>
      <c r="I40" s="6"/>
      <c r="J40" s="6"/>
      <c r="K40" s="7">
        <v>3.56E-2</v>
      </c>
      <c r="L40" s="7">
        <v>0.60119999999999996</v>
      </c>
      <c r="M40" s="7">
        <v>8.5500000000000007E-2</v>
      </c>
      <c r="N40" s="7">
        <v>1.6131</v>
      </c>
    </row>
    <row r="41" spans="1:14" ht="16.2" customHeight="1" x14ac:dyDescent="0.3">
      <c r="A41" s="10" t="s">
        <v>21</v>
      </c>
      <c r="B41" s="11">
        <v>6.83E-2</v>
      </c>
      <c r="C41" s="11">
        <v>0.14019999999999999</v>
      </c>
      <c r="D41" s="11">
        <v>0.22189999999999999</v>
      </c>
      <c r="E41" s="11">
        <v>4.82E-2</v>
      </c>
      <c r="F41" s="11">
        <v>0.30149999999999999</v>
      </c>
      <c r="G41" s="11">
        <v>6.0999999999999999E-2</v>
      </c>
      <c r="H41" s="11">
        <v>0.28970000000000001</v>
      </c>
      <c r="I41" s="11">
        <v>4.4499999999999998E-2</v>
      </c>
      <c r="J41" s="11">
        <v>7.4099999999999999E-2</v>
      </c>
      <c r="K41" s="11">
        <v>0.1099</v>
      </c>
      <c r="L41" s="11">
        <v>0.6653</v>
      </c>
      <c r="M41" s="11">
        <v>0.1323</v>
      </c>
      <c r="N41" s="11">
        <v>2.157</v>
      </c>
    </row>
    <row r="42" spans="1:14" ht="16.2" customHeight="1" x14ac:dyDescent="0.3">
      <c r="A42" s="3" t="s">
        <v>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6.2" customHeight="1" x14ac:dyDescent="0.3">
      <c r="A43" s="5" t="s">
        <v>39</v>
      </c>
      <c r="B43" s="6"/>
      <c r="C43" s="6"/>
      <c r="D43" s="6"/>
      <c r="E43" s="6"/>
      <c r="F43" s="6"/>
      <c r="G43" s="6"/>
      <c r="H43" s="7">
        <v>2.0999999999999999E-3</v>
      </c>
      <c r="I43" s="6"/>
      <c r="J43" s="6"/>
      <c r="K43" s="6"/>
      <c r="L43" s="6"/>
      <c r="M43" s="7">
        <v>7.6999999999999999E-2</v>
      </c>
      <c r="N43" s="7">
        <v>7.9100000000000004E-2</v>
      </c>
    </row>
    <row r="44" spans="1:14" ht="16.2" customHeight="1" x14ac:dyDescent="0.3">
      <c r="A44" s="8" t="s">
        <v>40</v>
      </c>
      <c r="B44" s="9">
        <v>2.9999999999999997E-4</v>
      </c>
      <c r="C44" s="12"/>
      <c r="D44" s="9">
        <v>5.9999999999999995E-4</v>
      </c>
      <c r="E44" s="9">
        <v>8.0000000000000004E-4</v>
      </c>
      <c r="F44" s="12"/>
      <c r="G44" s="9">
        <v>1.1000000000000001E-3</v>
      </c>
      <c r="H44" s="9">
        <v>2.3E-3</v>
      </c>
      <c r="I44" s="9">
        <v>5.0000000000000001E-4</v>
      </c>
      <c r="J44" s="9">
        <v>1.2999999999999999E-3</v>
      </c>
      <c r="K44" s="9">
        <v>5.0000000000000001E-4</v>
      </c>
      <c r="L44" s="9">
        <v>8.0000000000000004E-4</v>
      </c>
      <c r="M44" s="9">
        <v>6.9999999999999999E-4</v>
      </c>
      <c r="N44" s="9">
        <v>8.8999999999999999E-3</v>
      </c>
    </row>
    <row r="45" spans="1:14" ht="16.2" customHeight="1" x14ac:dyDescent="0.3">
      <c r="A45" s="5" t="s">
        <v>41</v>
      </c>
      <c r="B45" s="7">
        <v>4.3E-3</v>
      </c>
      <c r="C45" s="6"/>
      <c r="D45" s="6"/>
      <c r="E45" s="7">
        <v>8.9999999999999998E-4</v>
      </c>
      <c r="F45" s="7">
        <v>4.0000000000000002E-4</v>
      </c>
      <c r="G45" s="7">
        <v>5.1000000000000004E-3</v>
      </c>
      <c r="H45" s="7">
        <v>4.5999999999999999E-3</v>
      </c>
      <c r="I45" s="7">
        <v>3.8E-3</v>
      </c>
      <c r="J45" s="6"/>
      <c r="K45" s="7">
        <v>8.2000000000000007E-3</v>
      </c>
      <c r="L45" s="6"/>
      <c r="M45" s="7">
        <v>5.0000000000000001E-4</v>
      </c>
      <c r="N45" s="7">
        <v>2.7699999999999999E-2</v>
      </c>
    </row>
    <row r="46" spans="1:14" ht="16.2" customHeight="1" x14ac:dyDescent="0.3">
      <c r="A46" s="8" t="s">
        <v>42</v>
      </c>
      <c r="B46" s="9">
        <v>3.0000000000000001E-3</v>
      </c>
      <c r="C46" s="12"/>
      <c r="D46" s="12"/>
      <c r="E46" s="9">
        <v>3.3999999999999998E-3</v>
      </c>
      <c r="F46" s="9">
        <v>2.9999999999999997E-4</v>
      </c>
      <c r="G46" s="9">
        <v>2.9999999999999997E-4</v>
      </c>
      <c r="H46" s="12"/>
      <c r="I46" s="12"/>
      <c r="J46" s="9">
        <v>2E-3</v>
      </c>
      <c r="K46" s="9">
        <v>1.5E-3</v>
      </c>
      <c r="L46" s="12"/>
      <c r="M46" s="9">
        <v>0.01</v>
      </c>
      <c r="N46" s="9">
        <v>2.0500000000000001E-2</v>
      </c>
    </row>
    <row r="47" spans="1:14" ht="16.2" customHeight="1" x14ac:dyDescent="0.3">
      <c r="A47" s="5" t="s">
        <v>43</v>
      </c>
      <c r="B47" s="7">
        <v>5.9999999999999995E-4</v>
      </c>
      <c r="C47" s="7">
        <v>2.4799999999999999E-2</v>
      </c>
      <c r="D47" s="6"/>
      <c r="E47" s="7">
        <v>4.4000000000000003E-3</v>
      </c>
      <c r="F47" s="7">
        <v>5.3E-3</v>
      </c>
      <c r="G47" s="7">
        <v>3.5000000000000001E-3</v>
      </c>
      <c r="H47" s="7">
        <v>1.26E-2</v>
      </c>
      <c r="I47" s="7">
        <v>2.76E-2</v>
      </c>
      <c r="J47" s="6"/>
      <c r="K47" s="7">
        <v>2.52E-2</v>
      </c>
      <c r="L47" s="7">
        <v>2.2200000000000001E-2</v>
      </c>
      <c r="M47" s="7">
        <v>3.4799999999999998E-2</v>
      </c>
      <c r="N47" s="7">
        <v>0.161</v>
      </c>
    </row>
    <row r="48" spans="1:14" ht="16.2" customHeight="1" x14ac:dyDescent="0.3">
      <c r="A48" s="8" t="s">
        <v>44</v>
      </c>
      <c r="B48" s="9">
        <v>1.5E-3</v>
      </c>
      <c r="C48" s="12"/>
      <c r="D48" s="12"/>
      <c r="E48" s="12"/>
      <c r="F48" s="12"/>
      <c r="G48" s="12"/>
      <c r="H48" s="12"/>
      <c r="I48" s="12"/>
      <c r="J48" s="9">
        <v>0.09</v>
      </c>
      <c r="K48" s="9">
        <v>0.01</v>
      </c>
      <c r="L48" s="9">
        <v>0.01</v>
      </c>
      <c r="M48" s="9">
        <v>0.28999999999999998</v>
      </c>
      <c r="N48" s="9">
        <v>0.40150000000000002</v>
      </c>
    </row>
    <row r="49" spans="1:14" ht="16.2" customHeight="1" x14ac:dyDescent="0.3">
      <c r="A49" s="5" t="s">
        <v>45</v>
      </c>
      <c r="B49" s="7">
        <v>1E-4</v>
      </c>
      <c r="C49" s="6"/>
      <c r="D49" s="6"/>
      <c r="E49" s="6"/>
      <c r="F49" s="7">
        <v>2.0000000000000001E-4</v>
      </c>
      <c r="G49" s="7">
        <v>2.0000000000000001E-4</v>
      </c>
      <c r="H49" s="6"/>
      <c r="I49" s="6"/>
      <c r="J49" s="6"/>
      <c r="K49" s="6"/>
      <c r="L49" s="6"/>
      <c r="M49" s="6"/>
      <c r="N49" s="7">
        <v>5.0000000000000001E-4</v>
      </c>
    </row>
    <row r="50" spans="1:14" ht="16.2" customHeight="1" x14ac:dyDescent="0.3">
      <c r="A50" s="8" t="s">
        <v>46</v>
      </c>
      <c r="B50" s="9">
        <v>1.9E-3</v>
      </c>
      <c r="C50" s="9">
        <v>1E-3</v>
      </c>
      <c r="D50" s="9">
        <v>8.0000000000000004E-4</v>
      </c>
      <c r="E50" s="9">
        <v>1.2999999999999999E-3</v>
      </c>
      <c r="F50" s="9">
        <v>6.9999999999999999E-4</v>
      </c>
      <c r="G50" s="9">
        <v>6.9999999999999999E-4</v>
      </c>
      <c r="H50" s="9">
        <v>1.2999999999999999E-3</v>
      </c>
      <c r="I50" s="9">
        <v>1.4E-3</v>
      </c>
      <c r="J50" s="9">
        <v>1.6000000000000001E-3</v>
      </c>
      <c r="K50" s="9">
        <v>1.8E-3</v>
      </c>
      <c r="L50" s="9">
        <v>8.9999999999999998E-4</v>
      </c>
      <c r="M50" s="12"/>
      <c r="N50" s="9">
        <v>1.34E-2</v>
      </c>
    </row>
    <row r="51" spans="1:14" ht="16.2" customHeight="1" x14ac:dyDescent="0.3">
      <c r="A51" s="5" t="s">
        <v>47</v>
      </c>
      <c r="B51" s="6"/>
      <c r="C51" s="7">
        <v>1E-4</v>
      </c>
      <c r="D51" s="7">
        <v>1E-4</v>
      </c>
      <c r="E51" s="6"/>
      <c r="F51" s="6"/>
      <c r="G51" s="6"/>
      <c r="H51" s="7">
        <v>1.5E-3</v>
      </c>
      <c r="I51" s="7">
        <v>1E-4</v>
      </c>
      <c r="J51" s="7">
        <v>2.9999999999999997E-4</v>
      </c>
      <c r="K51" s="6"/>
      <c r="L51" s="6"/>
      <c r="M51" s="6"/>
      <c r="N51" s="7">
        <v>2E-3</v>
      </c>
    </row>
    <row r="52" spans="1:14" ht="16.2" customHeight="1" x14ac:dyDescent="0.3">
      <c r="A52" s="8" t="s">
        <v>48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>
        <v>0.27710000000000001</v>
      </c>
      <c r="N52" s="9">
        <v>0.27710000000000001</v>
      </c>
    </row>
    <row r="53" spans="1:14" ht="16.2" customHeight="1" x14ac:dyDescent="0.3">
      <c r="A53" s="5" t="s">
        <v>49</v>
      </c>
      <c r="B53" s="7">
        <v>1E-4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7">
        <v>1E-4</v>
      </c>
    </row>
    <row r="54" spans="1:14" ht="16.2" customHeight="1" x14ac:dyDescent="0.3">
      <c r="A54" s="8" t="s">
        <v>50</v>
      </c>
      <c r="B54" s="9">
        <v>2.8999999999999998E-3</v>
      </c>
      <c r="C54" s="9">
        <v>0.01</v>
      </c>
      <c r="D54" s="12"/>
      <c r="E54" s="9">
        <v>3.7000000000000002E-3</v>
      </c>
      <c r="F54" s="9">
        <v>8.9999999999999998E-4</v>
      </c>
      <c r="G54" s="12"/>
      <c r="H54" s="12"/>
      <c r="I54" s="12"/>
      <c r="J54" s="9">
        <v>1E-4</v>
      </c>
      <c r="K54" s="9">
        <v>2.9999999999999997E-4</v>
      </c>
      <c r="L54" s="12"/>
      <c r="M54" s="12"/>
      <c r="N54" s="9">
        <v>1.7999999999999999E-2</v>
      </c>
    </row>
    <row r="55" spans="1:14" ht="16.2" customHeight="1" x14ac:dyDescent="0.3">
      <c r="A55" s="5" t="s">
        <v>51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>
        <v>4.0000000000000002E-4</v>
      </c>
      <c r="N55" s="7">
        <v>4.0000000000000002E-4</v>
      </c>
    </row>
    <row r="56" spans="1:14" ht="16.2" customHeight="1" x14ac:dyDescent="0.3">
      <c r="A56" s="8" t="s">
        <v>52</v>
      </c>
      <c r="B56" s="9">
        <v>0.31990000000000002</v>
      </c>
      <c r="C56" s="9">
        <v>0.32490000000000002</v>
      </c>
      <c r="D56" s="9">
        <v>0.33150000000000002</v>
      </c>
      <c r="E56" s="9">
        <v>0.35089999999999999</v>
      </c>
      <c r="F56" s="9">
        <v>0.35170000000000001</v>
      </c>
      <c r="G56" s="9">
        <v>0.36609999999999998</v>
      </c>
      <c r="H56" s="9">
        <v>0.59840000000000004</v>
      </c>
      <c r="I56" s="9">
        <v>0.36059999999999998</v>
      </c>
      <c r="J56" s="9">
        <v>0.34410000000000002</v>
      </c>
      <c r="K56" s="9">
        <v>0.35049999999999998</v>
      </c>
      <c r="L56" s="9">
        <v>0.34860000000000002</v>
      </c>
      <c r="M56" s="9">
        <v>0.2445</v>
      </c>
      <c r="N56" s="9">
        <v>4.2918000000000003</v>
      </c>
    </row>
    <row r="57" spans="1:14" ht="16.2" customHeight="1" x14ac:dyDescent="0.3">
      <c r="A57" s="5" t="s">
        <v>53</v>
      </c>
      <c r="B57" s="6"/>
      <c r="C57" s="6"/>
      <c r="D57" s="6"/>
      <c r="E57" s="6"/>
      <c r="F57" s="6"/>
      <c r="G57" s="6"/>
      <c r="H57" s="7">
        <v>3.3E-3</v>
      </c>
      <c r="I57" s="6"/>
      <c r="J57" s="6"/>
      <c r="K57" s="6"/>
      <c r="L57" s="6"/>
      <c r="M57" s="6"/>
      <c r="N57" s="7">
        <v>3.3E-3</v>
      </c>
    </row>
    <row r="58" spans="1:14" ht="16.2" customHeight="1" x14ac:dyDescent="0.3">
      <c r="A58" s="8" t="s">
        <v>54</v>
      </c>
      <c r="B58" s="9">
        <v>3.7000000000000002E-3</v>
      </c>
      <c r="C58" s="9">
        <v>1.03E-2</v>
      </c>
      <c r="D58" s="9">
        <v>3.3999999999999998E-3</v>
      </c>
      <c r="E58" s="9">
        <v>1.0999999999999999E-2</v>
      </c>
      <c r="F58" s="9">
        <v>3.3999999999999998E-3</v>
      </c>
      <c r="G58" s="9">
        <v>4.4999999999999997E-3</v>
      </c>
      <c r="H58" s="9">
        <v>6.4000000000000003E-3</v>
      </c>
      <c r="I58" s="9">
        <v>2.3999999999999998E-3</v>
      </c>
      <c r="J58" s="9">
        <v>4.4000000000000003E-3</v>
      </c>
      <c r="K58" s="9">
        <v>7.0000000000000001E-3</v>
      </c>
      <c r="L58" s="9">
        <v>1.8E-3</v>
      </c>
      <c r="M58" s="9">
        <v>4.4999999999999997E-3</v>
      </c>
      <c r="N58" s="9">
        <v>6.2899999999999998E-2</v>
      </c>
    </row>
    <row r="59" spans="1:14" ht="16.2" customHeight="1" x14ac:dyDescent="0.3">
      <c r="A59" s="5" t="s">
        <v>55</v>
      </c>
      <c r="B59" s="7">
        <v>0.1394</v>
      </c>
      <c r="C59" s="7">
        <v>8.9999999999999998E-4</v>
      </c>
      <c r="D59" s="6"/>
      <c r="E59" s="7">
        <v>7.6700000000000004E-2</v>
      </c>
      <c r="F59" s="6"/>
      <c r="G59" s="7">
        <v>2.0000000000000001E-4</v>
      </c>
      <c r="H59" s="6"/>
      <c r="I59" s="7">
        <v>1E-4</v>
      </c>
      <c r="J59" s="6"/>
      <c r="K59" s="7">
        <v>2.9999999999999997E-4</v>
      </c>
      <c r="L59" s="6"/>
      <c r="M59" s="6"/>
      <c r="N59" s="7">
        <v>0.2177</v>
      </c>
    </row>
    <row r="60" spans="1:14" ht="16.2" customHeight="1" x14ac:dyDescent="0.3">
      <c r="A60" s="8" t="s">
        <v>56</v>
      </c>
      <c r="B60" s="9">
        <v>4.4000000000000003E-3</v>
      </c>
      <c r="C60" s="9">
        <v>4.1000000000000003E-3</v>
      </c>
      <c r="D60" s="9">
        <v>4.7000000000000002E-3</v>
      </c>
      <c r="E60" s="9">
        <v>5.4000000000000003E-3</v>
      </c>
      <c r="F60" s="9">
        <v>6.4999999999999997E-3</v>
      </c>
      <c r="G60" s="9">
        <v>8.9999999999999998E-4</v>
      </c>
      <c r="H60" s="9">
        <v>1.0699999999999999E-2</v>
      </c>
      <c r="I60" s="9">
        <v>1.23E-2</v>
      </c>
      <c r="J60" s="9">
        <v>8.9999999999999993E-3</v>
      </c>
      <c r="K60" s="9">
        <v>8.3999999999999995E-3</v>
      </c>
      <c r="L60" s="9">
        <v>3.3999999999999998E-3</v>
      </c>
      <c r="M60" s="9">
        <v>5.4000000000000003E-3</v>
      </c>
      <c r="N60" s="9">
        <v>7.5200000000000003E-2</v>
      </c>
    </row>
    <row r="61" spans="1:14" ht="16.2" customHeight="1" x14ac:dyDescent="0.3">
      <c r="A61" s="5" t="s">
        <v>57</v>
      </c>
      <c r="B61" s="7">
        <v>1.21E-2</v>
      </c>
      <c r="C61" s="7">
        <v>1.0800000000000001E-2</v>
      </c>
      <c r="D61" s="7">
        <v>2.1499999999999998E-2</v>
      </c>
      <c r="E61" s="7">
        <v>1.34E-2</v>
      </c>
      <c r="F61" s="7">
        <v>1.0500000000000001E-2</v>
      </c>
      <c r="G61" s="7">
        <v>1.61E-2</v>
      </c>
      <c r="H61" s="7">
        <v>7.1000000000000004E-3</v>
      </c>
      <c r="I61" s="7">
        <v>3.56E-2</v>
      </c>
      <c r="J61" s="7">
        <v>2.1000000000000001E-2</v>
      </c>
      <c r="K61" s="7">
        <v>1.3100000000000001E-2</v>
      </c>
      <c r="L61" s="7">
        <v>3.0700000000000002E-2</v>
      </c>
      <c r="M61" s="7">
        <v>2.9600000000000001E-2</v>
      </c>
      <c r="N61" s="7">
        <v>0.22140000000000001</v>
      </c>
    </row>
    <row r="62" spans="1:14" ht="16.2" customHeight="1" x14ac:dyDescent="0.3">
      <c r="A62" s="8" t="s">
        <v>58</v>
      </c>
      <c r="B62" s="9">
        <v>2.0000000000000001E-4</v>
      </c>
      <c r="C62" s="9">
        <v>7.7999999999999996E-3</v>
      </c>
      <c r="D62" s="9">
        <v>6.0000000000000001E-3</v>
      </c>
      <c r="E62" s="9">
        <v>3.3999999999999998E-3</v>
      </c>
      <c r="F62" s="9">
        <v>1.2999999999999999E-3</v>
      </c>
      <c r="G62" s="9">
        <v>1.5E-3</v>
      </c>
      <c r="H62" s="9">
        <v>5.0000000000000001E-4</v>
      </c>
      <c r="I62" s="9">
        <v>2.5000000000000001E-3</v>
      </c>
      <c r="J62" s="9">
        <v>9.1000000000000004E-3</v>
      </c>
      <c r="K62" s="9">
        <v>1E-4</v>
      </c>
      <c r="L62" s="9">
        <v>1E-4</v>
      </c>
      <c r="M62" s="9">
        <v>6.1999999999999998E-3</v>
      </c>
      <c r="N62" s="9">
        <v>3.8600000000000002E-2</v>
      </c>
    </row>
    <row r="63" spans="1:14" ht="16.2" customHeight="1" x14ac:dyDescent="0.3">
      <c r="A63" s="5" t="s">
        <v>59</v>
      </c>
      <c r="B63" s="6"/>
      <c r="C63" s="6"/>
      <c r="D63" s="6"/>
      <c r="E63" s="6"/>
      <c r="F63" s="6"/>
      <c r="G63" s="6"/>
      <c r="H63" s="7">
        <v>2.9999999999999997E-4</v>
      </c>
      <c r="I63" s="7">
        <v>1E-4</v>
      </c>
      <c r="J63" s="7">
        <v>2.9999999999999997E-4</v>
      </c>
      <c r="K63" s="6"/>
      <c r="L63" s="7">
        <v>8.0000000000000004E-4</v>
      </c>
      <c r="M63" s="7">
        <v>1.1999999999999999E-3</v>
      </c>
      <c r="N63" s="7">
        <v>2.7000000000000001E-3</v>
      </c>
    </row>
    <row r="64" spans="1:14" ht="16.2" customHeight="1" x14ac:dyDescent="0.3">
      <c r="A64" s="8" t="s">
        <v>60</v>
      </c>
      <c r="B64" s="12"/>
      <c r="C64" s="9">
        <v>5.3E-3</v>
      </c>
      <c r="D64" s="9">
        <v>1.72E-2</v>
      </c>
      <c r="E64" s="9">
        <v>2.5999999999999999E-3</v>
      </c>
      <c r="F64" s="9">
        <v>3.8E-3</v>
      </c>
      <c r="G64" s="9">
        <v>4.3E-3</v>
      </c>
      <c r="H64" s="9">
        <v>4.0000000000000001E-3</v>
      </c>
      <c r="I64" s="9">
        <v>2.3999999999999998E-3</v>
      </c>
      <c r="J64" s="9">
        <v>3.7000000000000002E-3</v>
      </c>
      <c r="K64" s="9">
        <v>2.7099999999999999E-2</v>
      </c>
      <c r="L64" s="9">
        <v>7.4999999999999997E-3</v>
      </c>
      <c r="M64" s="9">
        <v>2.9600000000000001E-2</v>
      </c>
      <c r="N64" s="9">
        <v>0.1075</v>
      </c>
    </row>
    <row r="65" spans="1:14" ht="16.2" customHeight="1" x14ac:dyDescent="0.3">
      <c r="A65" s="5" t="s">
        <v>61</v>
      </c>
      <c r="B65" s="6"/>
      <c r="C65" s="7">
        <v>6.4000000000000003E-3</v>
      </c>
      <c r="D65" s="7">
        <v>2.0299999999999999E-2</v>
      </c>
      <c r="E65" s="7">
        <v>1.8E-3</v>
      </c>
      <c r="F65" s="7">
        <v>2.9999999999999997E-4</v>
      </c>
      <c r="G65" s="6"/>
      <c r="H65" s="6"/>
      <c r="I65" s="7">
        <v>2.3999999999999998E-3</v>
      </c>
      <c r="J65" s="7">
        <v>6.6E-3</v>
      </c>
      <c r="K65" s="6"/>
      <c r="L65" s="6"/>
      <c r="M65" s="7">
        <v>1.9E-3</v>
      </c>
      <c r="N65" s="7">
        <v>3.9800000000000002E-2</v>
      </c>
    </row>
    <row r="66" spans="1:14" ht="16.2" customHeight="1" x14ac:dyDescent="0.3">
      <c r="A66" s="8" t="s">
        <v>62</v>
      </c>
      <c r="B66" s="12"/>
      <c r="C66" s="12"/>
      <c r="D66" s="12"/>
      <c r="E66" s="12"/>
      <c r="F66" s="12"/>
      <c r="G66" s="9">
        <v>3.0000000000000001E-3</v>
      </c>
      <c r="H66" s="12"/>
      <c r="I66" s="12"/>
      <c r="J66" s="12"/>
      <c r="K66" s="12"/>
      <c r="L66" s="12"/>
      <c r="M66" s="12"/>
      <c r="N66" s="9">
        <v>3.0000000000000001E-3</v>
      </c>
    </row>
    <row r="67" spans="1:14" ht="16.2" customHeight="1" x14ac:dyDescent="0.3">
      <c r="A67" s="5" t="s">
        <v>63</v>
      </c>
      <c r="B67" s="7">
        <v>4.4000000000000003E-3</v>
      </c>
      <c r="C67" s="7">
        <v>1E-4</v>
      </c>
      <c r="D67" s="6"/>
      <c r="E67" s="6"/>
      <c r="F67" s="7">
        <v>2.0000000000000001E-4</v>
      </c>
      <c r="G67" s="6"/>
      <c r="H67" s="6"/>
      <c r="I67" s="7">
        <v>4.2599999999999999E-2</v>
      </c>
      <c r="J67" s="7">
        <v>4.1000000000000003E-3</v>
      </c>
      <c r="K67" s="7">
        <v>8.9999999999999998E-4</v>
      </c>
      <c r="L67" s="7">
        <v>4.7999999999999996E-3</v>
      </c>
      <c r="M67" s="6"/>
      <c r="N67" s="7">
        <v>5.7099999999999998E-2</v>
      </c>
    </row>
    <row r="68" spans="1:14" ht="16.2" customHeight="1" x14ac:dyDescent="0.3">
      <c r="A68" s="8" t="s">
        <v>64</v>
      </c>
      <c r="B68" s="9">
        <v>1E-3</v>
      </c>
      <c r="C68" s="9">
        <v>2.9999999999999997E-4</v>
      </c>
      <c r="D68" s="12"/>
      <c r="E68" s="12"/>
      <c r="F68" s="12"/>
      <c r="G68" s="12"/>
      <c r="H68" s="9">
        <v>1.1000000000000001E-3</v>
      </c>
      <c r="I68" s="12"/>
      <c r="J68" s="12"/>
      <c r="K68" s="12"/>
      <c r="L68" s="12"/>
      <c r="M68" s="12"/>
      <c r="N68" s="9">
        <v>2.3999999999999998E-3</v>
      </c>
    </row>
    <row r="69" spans="1:14" ht="16.2" customHeight="1" x14ac:dyDescent="0.3">
      <c r="A69" s="5" t="s">
        <v>65</v>
      </c>
      <c r="B69" s="6"/>
      <c r="C69" s="6"/>
      <c r="D69" s="6"/>
      <c r="E69" s="6"/>
      <c r="F69" s="6"/>
      <c r="G69" s="6"/>
      <c r="H69" s="6"/>
      <c r="I69" s="7">
        <v>5.9999999999999995E-4</v>
      </c>
      <c r="J69" s="6"/>
      <c r="K69" s="6"/>
      <c r="L69" s="6"/>
      <c r="M69" s="6"/>
      <c r="N69" s="7">
        <v>5.9999999999999995E-4</v>
      </c>
    </row>
    <row r="70" spans="1:14" ht="16.2" customHeight="1" x14ac:dyDescent="0.3">
      <c r="A70" s="8" t="s">
        <v>66</v>
      </c>
      <c r="B70" s="12"/>
      <c r="C70" s="12"/>
      <c r="D70" s="9">
        <v>8.0000000000000004E-4</v>
      </c>
      <c r="E70" s="12"/>
      <c r="F70" s="12"/>
      <c r="G70" s="9">
        <v>1E-4</v>
      </c>
      <c r="H70" s="12"/>
      <c r="I70" s="12"/>
      <c r="J70" s="12"/>
      <c r="K70" s="12"/>
      <c r="L70" s="12"/>
      <c r="M70" s="12"/>
      <c r="N70" s="9">
        <v>1E-3</v>
      </c>
    </row>
    <row r="71" spans="1:14" ht="16.2" customHeight="1" x14ac:dyDescent="0.3">
      <c r="A71" s="5" t="s">
        <v>67</v>
      </c>
      <c r="B71" s="7">
        <v>2.9999999999999997E-4</v>
      </c>
      <c r="C71" s="7">
        <v>2.9999999999999997E-4</v>
      </c>
      <c r="D71" s="7">
        <v>2.9999999999999997E-4</v>
      </c>
      <c r="E71" s="7">
        <v>2.9999999999999997E-4</v>
      </c>
      <c r="F71" s="7">
        <v>2.9999999999999997E-4</v>
      </c>
      <c r="G71" s="7">
        <v>2.9999999999999997E-4</v>
      </c>
      <c r="H71" s="7">
        <v>2.9999999999999997E-4</v>
      </c>
      <c r="I71" s="7">
        <v>2.9999999999999997E-4</v>
      </c>
      <c r="J71" s="7">
        <v>2.9999999999999997E-4</v>
      </c>
      <c r="K71" s="7">
        <v>2.9999999999999997E-4</v>
      </c>
      <c r="L71" s="7">
        <v>2.9999999999999997E-4</v>
      </c>
      <c r="M71" s="7">
        <v>2.9999999999999997E-4</v>
      </c>
      <c r="N71" s="7">
        <v>3.0000000000000001E-3</v>
      </c>
    </row>
    <row r="72" spans="1:14" ht="16.2" customHeight="1" x14ac:dyDescent="0.3">
      <c r="A72" s="8" t="s">
        <v>68</v>
      </c>
      <c r="B72" s="9">
        <v>1E-3</v>
      </c>
      <c r="C72" s="9">
        <v>6.9999999999999999E-4</v>
      </c>
      <c r="D72" s="9">
        <v>1.1999999999999999E-3</v>
      </c>
      <c r="E72" s="9">
        <v>2.0000000000000001E-4</v>
      </c>
      <c r="F72" s="9">
        <v>2.0000000000000001E-4</v>
      </c>
      <c r="G72" s="12"/>
      <c r="H72" s="9">
        <v>8.0000000000000004E-4</v>
      </c>
      <c r="I72" s="9">
        <v>7.0000000000000001E-3</v>
      </c>
      <c r="J72" s="9">
        <v>5.9999999999999995E-4</v>
      </c>
      <c r="K72" s="9">
        <v>1E-4</v>
      </c>
      <c r="L72" s="9">
        <v>1.1999999999999999E-3</v>
      </c>
      <c r="M72" s="9">
        <v>1.5E-3</v>
      </c>
      <c r="N72" s="9">
        <v>1.4500000000000001E-2</v>
      </c>
    </row>
    <row r="73" spans="1:14" ht="16.2" customHeight="1" x14ac:dyDescent="0.3">
      <c r="A73" s="5" t="s">
        <v>69</v>
      </c>
      <c r="B73" s="7">
        <v>5.1999999999999998E-3</v>
      </c>
      <c r="C73" s="7">
        <v>4.4999999999999997E-3</v>
      </c>
      <c r="D73" s="7">
        <v>4.1000000000000003E-3</v>
      </c>
      <c r="E73" s="7">
        <v>3.5999999999999999E-3</v>
      </c>
      <c r="F73" s="7">
        <v>4.3E-3</v>
      </c>
      <c r="G73" s="7">
        <v>4.4000000000000003E-3</v>
      </c>
      <c r="H73" s="7">
        <v>4.1000000000000003E-3</v>
      </c>
      <c r="I73" s="7">
        <v>5.7000000000000002E-3</v>
      </c>
      <c r="J73" s="7">
        <v>4.7000000000000002E-3</v>
      </c>
      <c r="K73" s="7">
        <v>5.0000000000000001E-3</v>
      </c>
      <c r="L73" s="7">
        <v>5.4000000000000003E-3</v>
      </c>
      <c r="M73" s="7">
        <v>5.7000000000000002E-3</v>
      </c>
      <c r="N73" s="7">
        <v>5.6899999999999999E-2</v>
      </c>
    </row>
    <row r="74" spans="1:14" ht="16.2" customHeight="1" x14ac:dyDescent="0.3">
      <c r="A74" s="8" t="s">
        <v>70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>
        <v>0.96</v>
      </c>
      <c r="N74" s="9">
        <v>0.96</v>
      </c>
    </row>
    <row r="75" spans="1:14" ht="16.2" customHeight="1" x14ac:dyDescent="0.3">
      <c r="A75" s="5" t="s">
        <v>71</v>
      </c>
      <c r="B75" s="7">
        <v>4.4999999999999997E-3</v>
      </c>
      <c r="C75" s="7">
        <v>3.3999999999999998E-3</v>
      </c>
      <c r="D75" s="7">
        <v>4.1999999999999997E-3</v>
      </c>
      <c r="E75" s="7">
        <v>5.7000000000000002E-3</v>
      </c>
      <c r="F75" s="7">
        <v>4.4000000000000003E-3</v>
      </c>
      <c r="G75" s="7">
        <v>4.1999999999999997E-3</v>
      </c>
      <c r="H75" s="7">
        <v>4.4999999999999997E-3</v>
      </c>
      <c r="I75" s="7">
        <v>4.4000000000000003E-3</v>
      </c>
      <c r="J75" s="7">
        <v>5.0000000000000001E-3</v>
      </c>
      <c r="K75" s="7">
        <v>4.5999999999999999E-3</v>
      </c>
      <c r="L75" s="7">
        <v>2.7000000000000001E-3</v>
      </c>
      <c r="M75" s="7">
        <v>6.0000000000000001E-3</v>
      </c>
      <c r="N75" s="7">
        <v>5.3699999999999998E-2</v>
      </c>
    </row>
    <row r="76" spans="1:14" ht="16.2" customHeight="1" x14ac:dyDescent="0.3">
      <c r="A76" s="8" t="s">
        <v>72</v>
      </c>
      <c r="B76" s="12"/>
      <c r="C76" s="12"/>
      <c r="D76" s="12"/>
      <c r="E76" s="12"/>
      <c r="F76" s="12"/>
      <c r="G76" s="9">
        <v>6.3E-3</v>
      </c>
      <c r="H76" s="12"/>
      <c r="I76" s="12"/>
      <c r="J76" s="12"/>
      <c r="K76" s="12"/>
      <c r="L76" s="12"/>
      <c r="M76" s="12"/>
      <c r="N76" s="9">
        <v>6.3E-3</v>
      </c>
    </row>
    <row r="77" spans="1:14" ht="16.2" customHeight="1" x14ac:dyDescent="0.3">
      <c r="A77" s="5" t="s">
        <v>73</v>
      </c>
      <c r="B77" s="7">
        <v>8.0000000000000004E-4</v>
      </c>
      <c r="C77" s="7">
        <v>4.0000000000000002E-4</v>
      </c>
      <c r="D77" s="7">
        <v>1E-3</v>
      </c>
      <c r="E77" s="7">
        <v>5.9999999999999995E-4</v>
      </c>
      <c r="F77" s="7">
        <v>4.0000000000000002E-4</v>
      </c>
      <c r="G77" s="7">
        <v>1E-4</v>
      </c>
      <c r="H77" s="6"/>
      <c r="I77" s="7">
        <v>2.9999999999999997E-4</v>
      </c>
      <c r="J77" s="7">
        <v>8.0000000000000004E-4</v>
      </c>
      <c r="K77" s="7">
        <v>2.0000000000000001E-4</v>
      </c>
      <c r="L77" s="6"/>
      <c r="M77" s="7">
        <v>4.0000000000000002E-4</v>
      </c>
      <c r="N77" s="7">
        <v>4.8999999999999998E-3</v>
      </c>
    </row>
    <row r="78" spans="1:14" ht="16.2" customHeight="1" x14ac:dyDescent="0.3">
      <c r="A78" s="8" t="s">
        <v>74</v>
      </c>
      <c r="B78" s="9">
        <v>2.9999999999999997E-4</v>
      </c>
      <c r="C78" s="9">
        <v>4.8999999999999998E-3</v>
      </c>
      <c r="D78" s="9">
        <v>7.7000000000000002E-3</v>
      </c>
      <c r="E78" s="12"/>
      <c r="F78" s="12"/>
      <c r="G78" s="9">
        <v>5.9999999999999995E-4</v>
      </c>
      <c r="H78" s="9">
        <v>3.0999999999999999E-3</v>
      </c>
      <c r="I78" s="9">
        <v>4.0000000000000002E-4</v>
      </c>
      <c r="J78" s="9">
        <v>2.8E-3</v>
      </c>
      <c r="K78" s="9">
        <v>4.4999999999999997E-3</v>
      </c>
      <c r="L78" s="9">
        <v>1E-4</v>
      </c>
      <c r="M78" s="9">
        <v>2.0000000000000001E-4</v>
      </c>
      <c r="N78" s="9">
        <v>2.46E-2</v>
      </c>
    </row>
    <row r="79" spans="1:14" ht="16.2" customHeight="1" x14ac:dyDescent="0.3">
      <c r="A79" s="5" t="s">
        <v>75</v>
      </c>
      <c r="B79" s="7">
        <v>2.2000000000000001E-3</v>
      </c>
      <c r="C79" s="7">
        <v>1.46E-2</v>
      </c>
      <c r="D79" s="7">
        <v>8.3999999999999995E-3</v>
      </c>
      <c r="E79" s="7">
        <v>4.0000000000000001E-3</v>
      </c>
      <c r="F79" s="7">
        <v>7.7999999999999996E-3</v>
      </c>
      <c r="G79" s="7">
        <v>5.0000000000000001E-3</v>
      </c>
      <c r="H79" s="7">
        <v>6.0000000000000001E-3</v>
      </c>
      <c r="I79" s="7">
        <v>1.5299999999999999E-2</v>
      </c>
      <c r="J79" s="7">
        <v>6.0000000000000001E-3</v>
      </c>
      <c r="K79" s="7">
        <v>6.7999999999999996E-3</v>
      </c>
      <c r="L79" s="7">
        <v>7.1999999999999998E-3</v>
      </c>
      <c r="M79" s="7">
        <v>1.5100000000000001E-2</v>
      </c>
      <c r="N79" s="7">
        <v>9.8500000000000004E-2</v>
      </c>
    </row>
    <row r="80" spans="1:14" ht="16.2" customHeight="1" x14ac:dyDescent="0.3">
      <c r="A80" s="8" t="s">
        <v>76</v>
      </c>
      <c r="B80" s="9">
        <v>5.0000000000000001E-4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9">
        <v>5.0000000000000001E-4</v>
      </c>
    </row>
    <row r="81" spans="1:14" ht="16.2" customHeight="1" x14ac:dyDescent="0.3">
      <c r="A81" s="5" t="s">
        <v>77</v>
      </c>
      <c r="B81" s="7">
        <v>1.8200000000000001E-2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7">
        <v>1.8200000000000001E-2</v>
      </c>
    </row>
    <row r="82" spans="1:14" ht="16.2" customHeight="1" x14ac:dyDescent="0.3">
      <c r="A82" s="8" t="s">
        <v>78</v>
      </c>
      <c r="B82" s="9">
        <v>2.3E-3</v>
      </c>
      <c r="C82" s="9">
        <v>6.9999999999999999E-4</v>
      </c>
      <c r="D82" s="9">
        <v>1.1000000000000001E-3</v>
      </c>
      <c r="E82" s="9">
        <v>1.2999999999999999E-3</v>
      </c>
      <c r="F82" s="9">
        <v>1.1000000000000001E-3</v>
      </c>
      <c r="G82" s="9">
        <v>8.9999999999999998E-4</v>
      </c>
      <c r="H82" s="9">
        <v>1.6999999999999999E-3</v>
      </c>
      <c r="I82" s="9">
        <v>1.6000000000000001E-3</v>
      </c>
      <c r="J82" s="9">
        <v>1E-3</v>
      </c>
      <c r="K82" s="9">
        <v>5.0000000000000001E-4</v>
      </c>
      <c r="L82" s="9">
        <v>1.1999999999999999E-3</v>
      </c>
      <c r="M82" s="9">
        <v>1E-3</v>
      </c>
      <c r="N82" s="9">
        <v>1.43E-2</v>
      </c>
    </row>
    <row r="83" spans="1:14" ht="16.2" customHeight="1" x14ac:dyDescent="0.3">
      <c r="A83" s="5" t="s">
        <v>79</v>
      </c>
      <c r="B83" s="7">
        <v>2.9999999999999997E-4</v>
      </c>
      <c r="C83" s="6"/>
      <c r="D83" s="7">
        <v>2.0000000000000001E-4</v>
      </c>
      <c r="E83" s="7">
        <v>4.0000000000000002E-4</v>
      </c>
      <c r="F83" s="6"/>
      <c r="G83" s="7">
        <v>5.0000000000000001E-4</v>
      </c>
      <c r="H83" s="6"/>
      <c r="I83" s="7">
        <v>2.0999999999999999E-3</v>
      </c>
      <c r="J83" s="7">
        <v>1.1999999999999999E-3</v>
      </c>
      <c r="K83" s="7">
        <v>8.9999999999999998E-4</v>
      </c>
      <c r="L83" s="7">
        <v>6.9999999999999999E-4</v>
      </c>
      <c r="M83" s="7">
        <v>2.0000000000000001E-4</v>
      </c>
      <c r="N83" s="7">
        <v>6.7000000000000002E-3</v>
      </c>
    </row>
    <row r="84" spans="1:14" ht="16.2" customHeight="1" x14ac:dyDescent="0.3">
      <c r="A84" s="8" t="s">
        <v>80</v>
      </c>
      <c r="B84" s="12"/>
      <c r="C84" s="9">
        <v>5.9999999999999995E-4</v>
      </c>
      <c r="D84" s="9">
        <v>1.6000000000000001E-3</v>
      </c>
      <c r="E84" s="12"/>
      <c r="F84" s="12"/>
      <c r="G84" s="12"/>
      <c r="H84" s="9">
        <v>4.0000000000000002E-4</v>
      </c>
      <c r="I84" s="12"/>
      <c r="J84" s="9">
        <v>2.5999999999999999E-3</v>
      </c>
      <c r="K84" s="9">
        <v>6.9999999999999999E-4</v>
      </c>
      <c r="L84" s="9">
        <v>8.9999999999999998E-4</v>
      </c>
      <c r="M84" s="12"/>
      <c r="N84" s="9">
        <v>6.8999999999999999E-3</v>
      </c>
    </row>
    <row r="85" spans="1:14" ht="16.2" customHeight="1" x14ac:dyDescent="0.3">
      <c r="A85" s="5" t="s">
        <v>81</v>
      </c>
      <c r="B85" s="7">
        <v>2.0000000000000001E-4</v>
      </c>
      <c r="C85" s="6"/>
      <c r="D85" s="6"/>
      <c r="E85" s="6"/>
      <c r="F85" s="7">
        <v>1E-4</v>
      </c>
      <c r="G85" s="6"/>
      <c r="H85" s="6"/>
      <c r="I85" s="6"/>
      <c r="J85" s="6"/>
      <c r="K85" s="6"/>
      <c r="L85" s="6"/>
      <c r="M85" s="6"/>
      <c r="N85" s="7">
        <v>5.0000000000000001E-4</v>
      </c>
    </row>
    <row r="86" spans="1:14" ht="16.2" customHeight="1" x14ac:dyDescent="0.3">
      <c r="A86" s="8" t="s">
        <v>82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9">
        <v>3.7000000000000002E-3</v>
      </c>
      <c r="N86" s="9">
        <v>3.7000000000000002E-3</v>
      </c>
    </row>
    <row r="87" spans="1:14" ht="16.2" customHeight="1" x14ac:dyDescent="0.3">
      <c r="A87" s="5" t="s">
        <v>83</v>
      </c>
      <c r="B87" s="7">
        <v>6.7000000000000004E-2</v>
      </c>
      <c r="C87" s="6"/>
      <c r="D87" s="7">
        <v>7.4000000000000003E-3</v>
      </c>
      <c r="E87" s="7">
        <v>3.2399999999999998E-2</v>
      </c>
      <c r="F87" s="7">
        <v>1.18E-2</v>
      </c>
      <c r="G87" s="7">
        <v>5.9999999999999995E-4</v>
      </c>
      <c r="H87" s="7">
        <v>4.4400000000000002E-2</v>
      </c>
      <c r="I87" s="7">
        <v>0.18060000000000001</v>
      </c>
      <c r="J87" s="7">
        <v>6.9999999999999999E-4</v>
      </c>
      <c r="K87" s="7">
        <v>1.5E-3</v>
      </c>
      <c r="L87" s="7">
        <v>0.24740000000000001</v>
      </c>
      <c r="M87" s="7">
        <v>1.17E-2</v>
      </c>
      <c r="N87" s="7">
        <v>0.60540000000000005</v>
      </c>
    </row>
    <row r="88" spans="1:14" ht="16.2" customHeight="1" x14ac:dyDescent="0.3">
      <c r="A88" s="8" t="s">
        <v>84</v>
      </c>
      <c r="B88" s="9">
        <v>1E-4</v>
      </c>
      <c r="C88" s="9">
        <v>2.9999999999999997E-4</v>
      </c>
      <c r="D88" s="9">
        <v>8.0000000000000004E-4</v>
      </c>
      <c r="E88" s="9">
        <v>2.9999999999999997E-4</v>
      </c>
      <c r="F88" s="9">
        <v>2.9999999999999997E-4</v>
      </c>
      <c r="G88" s="9">
        <v>2.9999999999999997E-4</v>
      </c>
      <c r="H88" s="9">
        <v>1.1999999999999999E-3</v>
      </c>
      <c r="I88" s="9">
        <v>2.9999999999999997E-4</v>
      </c>
      <c r="J88" s="9">
        <v>2.9999999999999997E-4</v>
      </c>
      <c r="K88" s="9">
        <v>2.9999999999999997E-4</v>
      </c>
      <c r="L88" s="9">
        <v>8.0000000000000004E-4</v>
      </c>
      <c r="M88" s="9">
        <v>5.0000000000000001E-4</v>
      </c>
      <c r="N88" s="9">
        <v>5.3E-3</v>
      </c>
    </row>
    <row r="89" spans="1:14" ht="16.2" customHeight="1" x14ac:dyDescent="0.3">
      <c r="A89" s="5" t="s">
        <v>85</v>
      </c>
      <c r="B89" s="6"/>
      <c r="C89" s="7">
        <v>2.9999999999999997E-4</v>
      </c>
      <c r="D89" s="7">
        <v>2.9999999999999997E-4</v>
      </c>
      <c r="E89" s="7">
        <v>2.9999999999999997E-4</v>
      </c>
      <c r="F89" s="7">
        <v>1E-4</v>
      </c>
      <c r="G89" s="6"/>
      <c r="H89" s="6"/>
      <c r="I89" s="6"/>
      <c r="J89" s="7">
        <v>2.0000000000000001E-4</v>
      </c>
      <c r="K89" s="7">
        <v>6.9999999999999999E-4</v>
      </c>
      <c r="L89" s="6"/>
      <c r="M89" s="6"/>
      <c r="N89" s="7">
        <v>1.9E-3</v>
      </c>
    </row>
    <row r="90" spans="1:14" ht="16.2" customHeight="1" x14ac:dyDescent="0.3">
      <c r="A90" s="8" t="s">
        <v>86</v>
      </c>
      <c r="B90" s="12"/>
      <c r="C90" s="12"/>
      <c r="D90" s="9">
        <v>6.9999999999999999E-4</v>
      </c>
      <c r="E90" s="9">
        <v>6.9999999999999999E-4</v>
      </c>
      <c r="F90" s="12"/>
      <c r="G90" s="9">
        <v>5.0000000000000001E-4</v>
      </c>
      <c r="H90" s="12"/>
      <c r="I90" s="9">
        <v>4.0000000000000002E-4</v>
      </c>
      <c r="J90" s="9">
        <v>6.9999999999999999E-4</v>
      </c>
      <c r="K90" s="9">
        <v>2.9999999999999997E-4</v>
      </c>
      <c r="L90" s="9">
        <v>6.9999999999999999E-4</v>
      </c>
      <c r="M90" s="12"/>
      <c r="N90" s="9">
        <v>3.8999999999999998E-3</v>
      </c>
    </row>
    <row r="91" spans="1:14" ht="16.2" customHeight="1" x14ac:dyDescent="0.3">
      <c r="A91" s="5" t="s">
        <v>87</v>
      </c>
      <c r="B91" s="7">
        <v>3.0200000000000001E-2</v>
      </c>
      <c r="C91" s="7">
        <v>1.9E-3</v>
      </c>
      <c r="D91" s="7">
        <v>1.0699999999999999E-2</v>
      </c>
      <c r="E91" s="7">
        <v>8.3000000000000001E-3</v>
      </c>
      <c r="F91" s="7">
        <v>2.7000000000000001E-3</v>
      </c>
      <c r="G91" s="7">
        <v>1.12E-2</v>
      </c>
      <c r="H91" s="7">
        <v>5.8999999999999999E-3</v>
      </c>
      <c r="I91" s="7">
        <v>6.1999999999999998E-3</v>
      </c>
      <c r="J91" s="7">
        <v>1.4E-3</v>
      </c>
      <c r="K91" s="7">
        <v>1.1999999999999999E-3</v>
      </c>
      <c r="L91" s="7">
        <v>1.1999999999999999E-3</v>
      </c>
      <c r="M91" s="7">
        <v>1.8E-3</v>
      </c>
      <c r="N91" s="7">
        <v>8.2699999999999996E-2</v>
      </c>
    </row>
    <row r="92" spans="1:14" ht="16.2" customHeight="1" x14ac:dyDescent="0.3">
      <c r="A92" s="8" t="s">
        <v>88</v>
      </c>
      <c r="B92" s="9">
        <v>8.9999999999999998E-4</v>
      </c>
      <c r="C92" s="9">
        <v>1.5E-3</v>
      </c>
      <c r="D92" s="12"/>
      <c r="E92" s="9">
        <v>2.0000000000000001E-4</v>
      </c>
      <c r="F92" s="12"/>
      <c r="G92" s="9">
        <v>2E-3</v>
      </c>
      <c r="H92" s="9">
        <v>2.2000000000000001E-3</v>
      </c>
      <c r="I92" s="12"/>
      <c r="J92" s="9">
        <v>2.9999999999999997E-4</v>
      </c>
      <c r="K92" s="12"/>
      <c r="L92" s="9">
        <v>2.0000000000000001E-4</v>
      </c>
      <c r="M92" s="12"/>
      <c r="N92" s="9">
        <v>7.3000000000000001E-3</v>
      </c>
    </row>
    <row r="93" spans="1:14" ht="16.2" customHeight="1" x14ac:dyDescent="0.3">
      <c r="A93" s="10" t="s">
        <v>21</v>
      </c>
      <c r="B93" s="11">
        <v>0.63380000000000003</v>
      </c>
      <c r="C93" s="11">
        <v>0.44090000000000001</v>
      </c>
      <c r="D93" s="11">
        <v>0.45660000000000001</v>
      </c>
      <c r="E93" s="11">
        <v>0.53810000000000002</v>
      </c>
      <c r="F93" s="11">
        <v>0.41870000000000002</v>
      </c>
      <c r="G93" s="11">
        <v>0.44469999999999998</v>
      </c>
      <c r="H93" s="11">
        <v>0.73099999999999998</v>
      </c>
      <c r="I93" s="11">
        <v>0.71940000000000004</v>
      </c>
      <c r="J93" s="11">
        <v>0.52610000000000001</v>
      </c>
      <c r="K93" s="11">
        <v>0.48249999999999998</v>
      </c>
      <c r="L93" s="11">
        <v>0.70150000000000001</v>
      </c>
      <c r="M93" s="11">
        <v>2.0215000000000001</v>
      </c>
      <c r="N93" s="11">
        <v>8.1148000000000007</v>
      </c>
    </row>
    <row r="94" spans="1:14" ht="6" customHeigh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 ht="16.2" customHeight="1" x14ac:dyDescent="0.3">
      <c r="A95" s="16" t="s">
        <v>89</v>
      </c>
      <c r="B95" s="17">
        <v>3.4285000000000001</v>
      </c>
      <c r="C95" s="17">
        <v>4.7484000000000002</v>
      </c>
      <c r="D95" s="17">
        <v>4.5396000000000001</v>
      </c>
      <c r="E95" s="17">
        <v>4.2808999999999999</v>
      </c>
      <c r="F95" s="17">
        <v>4.0888999999999998</v>
      </c>
      <c r="G95" s="17">
        <v>4.5534999999999997</v>
      </c>
      <c r="H95" s="17">
        <v>3.9441000000000002</v>
      </c>
      <c r="I95" s="17">
        <v>6.5711000000000004</v>
      </c>
      <c r="J95" s="17">
        <v>6.2039999999999997</v>
      </c>
      <c r="K95" s="17">
        <v>5.4653</v>
      </c>
      <c r="L95" s="17">
        <v>6.0293000000000001</v>
      </c>
      <c r="M95" s="17">
        <v>7.8028000000000004</v>
      </c>
      <c r="N95" s="17">
        <v>61.656399999999998</v>
      </c>
    </row>
    <row r="97" spans="1:1" x14ac:dyDescent="0.3">
      <c r="A97" s="18" t="s">
        <v>90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Sathe</cp:lastModifiedBy>
  <dcterms:created xsi:type="dcterms:W3CDTF">2026-06-22T12:01:43Z</dcterms:created>
  <dcterms:modified xsi:type="dcterms:W3CDTF">2026-06-22T12:36:49Z</dcterms:modified>
</cp:coreProperties>
</file>